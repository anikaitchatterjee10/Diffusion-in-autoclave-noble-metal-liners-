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n11 Pro\Desktop\Diffusion Paper\Lit Methodology\"/>
    </mc:Choice>
  </mc:AlternateContent>
  <xr:revisionPtr revIDLastSave="0" documentId="13_ncr:1_{D827C20A-D222-4589-8CFA-01401AAD88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1" l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</calcChain>
</file>

<file path=xl/sharedStrings.xml><?xml version="1.0" encoding="utf-8"?>
<sst xmlns="http://schemas.openxmlformats.org/spreadsheetml/2006/main" count="59" uniqueCount="46">
  <si>
    <t>Literature</t>
  </si>
  <si>
    <t>Pre- Exponential factor D0(m2/s)</t>
  </si>
  <si>
    <t>Activation Energy Q(KJ/mol) ANN</t>
  </si>
  <si>
    <t>Activation Energy Q(KJ/mol) Linear (kJ/mol)</t>
  </si>
  <si>
    <t>Al (Aluminum)</t>
  </si>
  <si>
    <t>2,17E+03</t>
  </si>
  <si>
    <t>B (Boron)</t>
  </si>
  <si>
    <t>—</t>
  </si>
  <si>
    <t>136,19</t>
  </si>
  <si>
    <t>C (Carbon)</t>
  </si>
  <si>
    <t>128,98</t>
  </si>
  <si>
    <t>Co (Cobalt)</t>
  </si>
  <si>
    <t>Cr (Chromium)</t>
  </si>
  <si>
    <t>Cu (Copper)</t>
  </si>
  <si>
    <t>Fe (Iron)</t>
  </si>
  <si>
    <t>Ga (Gallium)</t>
  </si>
  <si>
    <t>Hf (Hafnium)</t>
  </si>
  <si>
    <t>158,37</t>
  </si>
  <si>
    <t>La (Lanthanum)</t>
  </si>
  <si>
    <t>174,02</t>
  </si>
  <si>
    <t>Mn (Manganese)</t>
  </si>
  <si>
    <t>Mo (Molybdenum)</t>
  </si>
  <si>
    <t>158,11</t>
  </si>
  <si>
    <t>Nb (Niobium)</t>
  </si>
  <si>
    <t>154,4</t>
  </si>
  <si>
    <t>Ni (Nickel)</t>
  </si>
  <si>
    <t>P (Phosphorus)</t>
  </si>
  <si>
    <t>137,59</t>
  </si>
  <si>
    <t>Sc (Scandium)</t>
  </si>
  <si>
    <t>173,15</t>
  </si>
  <si>
    <t>Si (Silicon)</t>
  </si>
  <si>
    <t>149,84</t>
  </si>
  <si>
    <t>Ti (Titanium)</t>
  </si>
  <si>
    <t>V (Vanadium)</t>
  </si>
  <si>
    <t>W (Tungsten)</t>
  </si>
  <si>
    <t>158,42</t>
  </si>
  <si>
    <t>Y (Yttrium)</t>
  </si>
  <si>
    <t>Zn (Zinc)</t>
  </si>
  <si>
    <t>Zr (Zirconium)</t>
  </si>
  <si>
    <t>162,72</t>
  </si>
  <si>
    <t>Diffusivity Ratio at 650 °C</t>
  </si>
  <si>
    <t>Activation Energy Ratio</t>
  </si>
  <si>
    <t>ANN+ MNR</t>
  </si>
  <si>
    <t>Regression +MNR</t>
  </si>
  <si>
    <t>Onodera and Aono</t>
  </si>
  <si>
    <t>Diffusivity Ratio at 600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</si>
</sst>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rgb="FF1F1F1F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1F1F1F"/>
      <name val="Arial"/>
      <family val="2"/>
    </font>
    <font>
      <sz val="11"/>
      <color rgb="FF000000"/>
      <name val="&quot;\0022Times New Roman\0022&quot;"/>
    </font>
    <font>
      <sz val="11"/>
      <color rgb="FF1F1F1F"/>
      <name val="Arial"/>
      <family val="2"/>
    </font>
    <font>
      <sz val="11"/>
      <color rgb="FF1F1F1F"/>
      <name val="&quot;Google Sans Text&quot;"/>
    </font>
    <font>
      <b/>
      <sz val="11"/>
      <color rgb="FF1F1F1F"/>
      <name val="&quot;Google Sans Text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&quot;\0022Times New Roman\0022&quot;"/>
    </font>
    <font>
      <sz val="11"/>
      <color rgb="FFA31515"/>
      <name val="Courier New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1F1F1F"/>
        <bgColor rgb="FF1F1F1F"/>
      </patternFill>
    </fill>
    <fill>
      <patternFill patternType="solid">
        <fgColor theme="6" tint="0.79998168889431442"/>
        <bgColor rgb="FF00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E06666"/>
      </patternFill>
    </fill>
    <fill>
      <patternFill patternType="solid">
        <fgColor theme="9" tint="0.79998168889431442"/>
        <bgColor rgb="FFF2F2F2"/>
      </patternFill>
    </fill>
  </fills>
  <borders count="12">
    <border>
      <left/>
      <right/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right" vertical="top"/>
    </xf>
    <xf numFmtId="11" fontId="1" fillId="0" borderId="1" xfId="0" applyNumberFormat="1" applyFont="1" applyBorder="1" applyAlignment="1">
      <alignment vertical="top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4" fillId="0" borderId="3" xfId="0" applyFont="1" applyBorder="1" applyAlignment="1">
      <alignment horizontal="center"/>
    </xf>
    <xf numFmtId="11" fontId="2" fillId="0" borderId="3" xfId="0" applyNumberFormat="1" applyFont="1" applyBorder="1"/>
    <xf numFmtId="0" fontId="2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11" fontId="8" fillId="2" borderId="0" xfId="0" applyNumberFormat="1" applyFont="1" applyFill="1" applyAlignment="1">
      <alignment horizontal="right"/>
    </xf>
    <xf numFmtId="0" fontId="2" fillId="2" borderId="3" xfId="0" applyFont="1" applyFill="1" applyBorder="1"/>
    <xf numFmtId="11" fontId="8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1" fontId="8" fillId="3" borderId="0" xfId="0" applyNumberFormat="1" applyFont="1" applyFill="1" applyAlignment="1">
      <alignment horizontal="right"/>
    </xf>
    <xf numFmtId="0" fontId="11" fillId="0" borderId="3" xfId="0" applyFont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8" fillId="3" borderId="0" xfId="0" applyFont="1" applyFill="1" applyAlignment="1">
      <alignment horizontal="right"/>
    </xf>
    <xf numFmtId="11" fontId="8" fillId="3" borderId="0" xfId="0" applyNumberFormat="1" applyFont="1" applyFill="1"/>
    <xf numFmtId="0" fontId="8" fillId="3" borderId="0" xfId="0" applyFont="1" applyFill="1"/>
    <xf numFmtId="0" fontId="8" fillId="4" borderId="0" xfId="0" applyFont="1" applyFill="1" applyAlignment="1">
      <alignment horizontal="right"/>
    </xf>
    <xf numFmtId="11" fontId="8" fillId="4" borderId="0" xfId="0" applyNumberFormat="1" applyFont="1" applyFill="1" applyAlignment="1">
      <alignment horizontal="right"/>
    </xf>
    <xf numFmtId="11" fontId="9" fillId="3" borderId="0" xfId="0" applyNumberFormat="1" applyFont="1" applyFill="1" applyAlignment="1">
      <alignment horizontal="center"/>
    </xf>
    <xf numFmtId="11" fontId="5" fillId="0" borderId="3" xfId="0" applyNumberFormat="1" applyFont="1" applyBorder="1"/>
    <xf numFmtId="0" fontId="11" fillId="0" borderId="0" xfId="0" applyFont="1"/>
    <xf numFmtId="3" fontId="11" fillId="0" borderId="3" xfId="0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1" fontId="5" fillId="0" borderId="5" xfId="0" applyNumberFormat="1" applyFont="1" applyBorder="1"/>
    <xf numFmtId="0" fontId="13" fillId="3" borderId="0" xfId="0" applyFont="1" applyFill="1" applyAlignment="1">
      <alignment horizontal="center"/>
    </xf>
    <xf numFmtId="0" fontId="13" fillId="0" borderId="6" xfId="0" applyFont="1" applyBorder="1" applyAlignment="1">
      <alignment horizontal="center"/>
    </xf>
    <xf numFmtId="11" fontId="5" fillId="0" borderId="0" xfId="0" applyNumberFormat="1" applyFont="1"/>
    <xf numFmtId="0" fontId="11" fillId="0" borderId="0" xfId="0" applyFont="1" applyAlignment="1">
      <alignment horizontal="right"/>
    </xf>
    <xf numFmtId="0" fontId="6" fillId="5" borderId="3" xfId="0" applyFont="1" applyFill="1" applyBorder="1" applyAlignment="1">
      <alignment horizontal="center"/>
    </xf>
    <xf numFmtId="11" fontId="2" fillId="6" borderId="3" xfId="0" applyNumberFormat="1" applyFont="1" applyFill="1" applyBorder="1" applyAlignment="1">
      <alignment horizontal="center"/>
    </xf>
    <xf numFmtId="0" fontId="2" fillId="5" borderId="3" xfId="0" applyFont="1" applyFill="1" applyBorder="1"/>
    <xf numFmtId="3" fontId="2" fillId="5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7" borderId="3" xfId="0" applyFont="1" applyFill="1" applyBorder="1"/>
    <xf numFmtId="11" fontId="1" fillId="7" borderId="1" xfId="0" applyNumberFormat="1" applyFont="1" applyFill="1" applyBorder="1" applyAlignment="1">
      <alignment vertical="top"/>
    </xf>
    <xf numFmtId="11" fontId="8" fillId="8" borderId="0" xfId="0" applyNumberFormat="1" applyFont="1" applyFill="1" applyAlignment="1">
      <alignment horizontal="right"/>
    </xf>
    <xf numFmtId="0" fontId="10" fillId="7" borderId="0" xfId="0" applyFont="1" applyFill="1"/>
    <xf numFmtId="0" fontId="2" fillId="9" borderId="3" xfId="0" applyFont="1" applyFill="1" applyBorder="1"/>
    <xf numFmtId="0" fontId="0" fillId="9" borderId="0" xfId="0" applyFill="1"/>
    <xf numFmtId="11" fontId="8" fillId="9" borderId="0" xfId="0" applyNumberFormat="1" applyFont="1" applyFill="1" applyAlignment="1">
      <alignment horizontal="right"/>
    </xf>
    <xf numFmtId="0" fontId="2" fillId="9" borderId="3" xfId="0" applyFont="1" applyFill="1" applyBorder="1" applyAlignment="1">
      <alignment horizontal="center"/>
    </xf>
    <xf numFmtId="11" fontId="0" fillId="9" borderId="0" xfId="0" applyNumberFormat="1" applyFill="1"/>
    <xf numFmtId="11" fontId="8" fillId="10" borderId="0" xfId="0" applyNumberFormat="1" applyFont="1" applyFill="1" applyAlignment="1">
      <alignment horizontal="right"/>
    </xf>
    <xf numFmtId="0" fontId="11" fillId="9" borderId="3" xfId="0" applyFont="1" applyFill="1" applyBorder="1" applyAlignment="1">
      <alignment horizontal="center"/>
    </xf>
    <xf numFmtId="11" fontId="8" fillId="10" borderId="0" xfId="0" applyNumberFormat="1" applyFont="1" applyFill="1"/>
    <xf numFmtId="0" fontId="8" fillId="10" borderId="0" xfId="0" applyFont="1" applyFill="1"/>
    <xf numFmtId="11" fontId="8" fillId="11" borderId="0" xfId="0" applyNumberFormat="1" applyFont="1" applyFill="1"/>
    <xf numFmtId="0" fontId="8" fillId="11" borderId="0" xfId="0" applyFont="1" applyFill="1"/>
    <xf numFmtId="11" fontId="8" fillId="12" borderId="0" xfId="0" applyNumberFormat="1" applyFont="1" applyFill="1" applyAlignment="1">
      <alignment horizontal="right"/>
    </xf>
    <xf numFmtId="11" fontId="12" fillId="9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textRotation="255" wrapText="1"/>
    </xf>
    <xf numFmtId="11" fontId="1" fillId="0" borderId="0" xfId="0" applyNumberFormat="1" applyFont="1" applyAlignment="1">
      <alignment vertical="top"/>
    </xf>
    <xf numFmtId="0" fontId="3" fillId="0" borderId="0" xfId="0" applyFont="1"/>
    <xf numFmtId="11" fontId="2" fillId="6" borderId="10" xfId="0" applyNumberFormat="1" applyFont="1" applyFill="1" applyBorder="1" applyAlignment="1">
      <alignment horizontal="center"/>
    </xf>
    <xf numFmtId="0" fontId="14" fillId="0" borderId="0" xfId="0" applyFont="1" applyAlignment="1">
      <alignment vertical="center" wrapText="1"/>
    </xf>
    <xf numFmtId="11" fontId="1" fillId="7" borderId="9" xfId="0" applyNumberFormat="1" applyFont="1" applyFill="1" applyBorder="1" applyAlignment="1">
      <alignment horizontal="center" vertical="top"/>
    </xf>
    <xf numFmtId="11" fontId="1" fillId="7" borderId="4" xfId="0" applyNumberFormat="1" applyFont="1" applyFill="1" applyBorder="1" applyAlignment="1">
      <alignment horizontal="center" vertical="top"/>
    </xf>
    <xf numFmtId="0" fontId="0" fillId="6" borderId="9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1" fontId="1" fillId="7" borderId="7" xfId="0" applyNumberFormat="1" applyFont="1" applyFill="1" applyBorder="1" applyAlignment="1">
      <alignment horizontal="center" vertical="top"/>
    </xf>
    <xf numFmtId="11" fontId="1" fillId="7" borderId="8" xfId="0" applyNumberFormat="1" applyFont="1" applyFill="1" applyBorder="1" applyAlignment="1">
      <alignment horizontal="center" vertical="top"/>
    </xf>
    <xf numFmtId="11" fontId="6" fillId="5" borderId="9" xfId="0" applyNumberFormat="1" applyFont="1" applyFill="1" applyBorder="1" applyAlignment="1">
      <alignment horizontal="center"/>
    </xf>
    <xf numFmtId="11" fontId="6" fillId="5" borderId="4" xfId="0" applyNumberFormat="1" applyFont="1" applyFill="1" applyBorder="1" applyAlignment="1">
      <alignment horizontal="center"/>
    </xf>
    <xf numFmtId="11" fontId="2" fillId="5" borderId="9" xfId="0" applyNumberFormat="1" applyFont="1" applyFill="1" applyBorder="1" applyAlignment="1">
      <alignment horizontal="center"/>
    </xf>
    <xf numFmtId="11" fontId="2" fillId="5" borderId="4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0" xfId="0" applyFont="1"/>
    <xf numFmtId="0" fontId="0" fillId="0" borderId="0" xfId="0"/>
    <xf numFmtId="11" fontId="6" fillId="5" borderId="7" xfId="0" applyNumberFormat="1" applyFont="1" applyFill="1" applyBorder="1" applyAlignment="1">
      <alignment horizontal="center"/>
    </xf>
    <xf numFmtId="11" fontId="6" fillId="5" borderId="8" xfId="0" applyNumberFormat="1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3"/>
  <sheetViews>
    <sheetView tabSelected="1" zoomScale="85" zoomScaleNormal="85" workbookViewId="0">
      <selection activeCell="H28" sqref="H28"/>
    </sheetView>
  </sheetViews>
  <sheetFormatPr baseColWidth="10" defaultColWidth="12.5703125" defaultRowHeight="15.75" customHeight="1"/>
  <cols>
    <col min="1" max="1" width="17.85546875" customWidth="1"/>
    <col min="10" max="10" width="10.85546875" customWidth="1"/>
    <col min="11" max="11" width="11.28515625" customWidth="1"/>
    <col min="12" max="14" width="16.7109375" customWidth="1"/>
  </cols>
  <sheetData>
    <row r="1" spans="1:27" ht="12.75">
      <c r="B1" s="1"/>
      <c r="C1" s="1"/>
      <c r="D1" s="2"/>
      <c r="E1" s="2"/>
      <c r="F1" s="2"/>
      <c r="G1" s="61"/>
    </row>
    <row r="2" spans="1:27" ht="15.75" customHeight="1">
      <c r="B2" s="3"/>
      <c r="C2" s="77" t="s">
        <v>0</v>
      </c>
      <c r="D2" s="78"/>
      <c r="E2" s="78"/>
      <c r="F2" s="78"/>
      <c r="G2" s="62"/>
      <c r="H2" s="3"/>
      <c r="I2" s="77" t="s">
        <v>42</v>
      </c>
      <c r="J2" s="78"/>
      <c r="K2" s="4"/>
      <c r="L2" s="4"/>
      <c r="M2" s="4"/>
      <c r="N2" s="77" t="s">
        <v>43</v>
      </c>
      <c r="O2" s="78"/>
      <c r="P2" s="5"/>
      <c r="Q2" s="5"/>
      <c r="R2" s="5"/>
      <c r="S2" s="79" t="s">
        <v>44</v>
      </c>
      <c r="T2" s="80"/>
    </row>
    <row r="3" spans="1:27" ht="92.25" customHeight="1">
      <c r="B3" s="6"/>
      <c r="C3" s="7" t="s">
        <v>1</v>
      </c>
      <c r="D3" s="9" t="s">
        <v>2</v>
      </c>
      <c r="E3" s="8"/>
      <c r="F3" s="64" t="s">
        <v>45</v>
      </c>
      <c r="G3" s="64" t="s">
        <v>41</v>
      </c>
      <c r="H3" s="60"/>
      <c r="I3" s="7" t="s">
        <v>1</v>
      </c>
      <c r="J3" s="9" t="s">
        <v>2</v>
      </c>
      <c r="K3" s="6"/>
      <c r="L3" s="64" t="s">
        <v>40</v>
      </c>
      <c r="M3" s="64" t="s">
        <v>41</v>
      </c>
      <c r="N3" s="10" t="s">
        <v>1</v>
      </c>
      <c r="O3" s="9" t="s">
        <v>3</v>
      </c>
      <c r="P3" s="6"/>
      <c r="Q3" s="64" t="s">
        <v>40</v>
      </c>
      <c r="R3" s="64" t="s">
        <v>41</v>
      </c>
      <c r="S3" s="10" t="s">
        <v>1</v>
      </c>
      <c r="T3" s="9" t="s">
        <v>3</v>
      </c>
      <c r="U3" s="48"/>
      <c r="V3" s="64" t="s">
        <v>40</v>
      </c>
      <c r="W3" s="64" t="s">
        <v>41</v>
      </c>
    </row>
    <row r="4" spans="1:27" ht="15.75" customHeight="1">
      <c r="A4" s="11" t="s">
        <v>4</v>
      </c>
      <c r="B4" s="81">
        <v>1.2999999999999999E-5</v>
      </c>
      <c r="C4" s="82"/>
      <c r="D4" s="38">
        <v>159.5</v>
      </c>
      <c r="E4" s="39">
        <f>B4*EXP(-D4/(0.0083144626*(923.15)))</f>
        <v>1.2277883856889892E-14</v>
      </c>
      <c r="F4" s="39">
        <f t="shared" ref="F4:F26" si="0">E4/0.000000000000001</f>
        <v>12.277883856889892</v>
      </c>
      <c r="G4" s="63">
        <f>D4/186.6</f>
        <v>0.85476956055734188</v>
      </c>
      <c r="H4" s="83" t="s">
        <v>5</v>
      </c>
      <c r="I4" s="84"/>
      <c r="J4" s="43">
        <v>160.18</v>
      </c>
      <c r="K4" s="44">
        <v>1.8732561399999999E-14</v>
      </c>
      <c r="L4" s="45">
        <f>K4/0.000000000000001</f>
        <v>18.732561399999998</v>
      </c>
      <c r="M4" s="45">
        <f>J4/186.6</f>
        <v>0.85841371918542342</v>
      </c>
      <c r="N4" s="13">
        <v>5.4178561800000003E-5</v>
      </c>
      <c r="O4" s="14">
        <v>179.24</v>
      </c>
      <c r="P4" s="13">
        <v>3.9040538300000001E-15</v>
      </c>
      <c r="Q4" s="13">
        <f>P4/0.000000000000001</f>
        <v>3.9040538299999996</v>
      </c>
      <c r="R4" s="13">
        <f>O4/186.6</f>
        <v>0.96055734190782427</v>
      </c>
      <c r="S4" s="47"/>
      <c r="T4" s="47"/>
      <c r="U4" s="48"/>
      <c r="V4" s="48"/>
      <c r="W4">
        <f>T4/186.6</f>
        <v>0</v>
      </c>
    </row>
    <row r="5" spans="1:27" ht="15.75" customHeight="1">
      <c r="A5" s="11" t="s">
        <v>6</v>
      </c>
      <c r="B5" s="67"/>
      <c r="C5" s="68"/>
      <c r="D5" s="40"/>
      <c r="E5" s="39">
        <f t="shared" ref="E5:E26" si="1">C5*EXP(-D5/(0.0083144626*(923.15)))</f>
        <v>0</v>
      </c>
      <c r="F5" s="39">
        <f t="shared" si="0"/>
        <v>0</v>
      </c>
      <c r="G5" s="63">
        <f t="shared" ref="G5:G26" si="2">D5/186.6</f>
        <v>0</v>
      </c>
      <c r="H5" s="69"/>
      <c r="I5" s="70"/>
      <c r="J5" s="43" t="s">
        <v>7</v>
      </c>
      <c r="K5" s="43"/>
      <c r="L5" s="45">
        <f t="shared" ref="L5:L26" si="3">K5/0.000000000000001</f>
        <v>0</v>
      </c>
      <c r="M5" s="45" t="e">
        <f t="shared" ref="M5:M26" si="4">J5/186.6</f>
        <v>#VALUE!</v>
      </c>
      <c r="N5" s="14"/>
      <c r="O5" s="14" t="s">
        <v>7</v>
      </c>
      <c r="P5" s="14"/>
      <c r="Q5" s="13">
        <f t="shared" ref="Q5:Q26" si="5">P5/0.000000000000001</f>
        <v>0</v>
      </c>
      <c r="R5" s="13" t="e">
        <f t="shared" ref="R5:R26" si="6">O5/186.6</f>
        <v>#VALUE!</v>
      </c>
      <c r="S5" s="49">
        <v>6.85754122E-6</v>
      </c>
      <c r="T5" s="50" t="s">
        <v>8</v>
      </c>
      <c r="U5" s="49">
        <v>1.34848125E-13</v>
      </c>
      <c r="V5" s="51">
        <f>U5/0.000000000000001</f>
        <v>134.84812499999998</v>
      </c>
      <c r="W5">
        <f t="shared" ref="W5:W26" si="7">T5/186.6</f>
        <v>0.7298499464094319</v>
      </c>
      <c r="X5" s="17"/>
      <c r="Y5" s="17"/>
      <c r="Z5" s="15"/>
      <c r="AA5" s="15"/>
    </row>
    <row r="6" spans="1:27" ht="15.75" customHeight="1">
      <c r="A6" s="11" t="s">
        <v>9</v>
      </c>
      <c r="B6" s="67"/>
      <c r="C6" s="68"/>
      <c r="D6" s="40"/>
      <c r="E6" s="39">
        <f t="shared" si="1"/>
        <v>0</v>
      </c>
      <c r="F6" s="39">
        <f t="shared" si="0"/>
        <v>0</v>
      </c>
      <c r="G6" s="63">
        <f t="shared" si="2"/>
        <v>0</v>
      </c>
      <c r="H6" s="69"/>
      <c r="I6" s="70"/>
      <c r="J6" s="43" t="s">
        <v>7</v>
      </c>
      <c r="K6" s="46"/>
      <c r="L6" s="45">
        <f t="shared" si="3"/>
        <v>0</v>
      </c>
      <c r="M6" s="45" t="e">
        <f t="shared" si="4"/>
        <v>#VALUE!</v>
      </c>
      <c r="N6" s="14"/>
      <c r="O6" s="14" t="s">
        <v>7</v>
      </c>
      <c r="P6" s="14"/>
      <c r="Q6" s="13">
        <f t="shared" si="5"/>
        <v>0</v>
      </c>
      <c r="R6" s="13" t="e">
        <f t="shared" si="6"/>
        <v>#VALUE!</v>
      </c>
      <c r="S6" s="52">
        <v>4.8509721599999996E-6</v>
      </c>
      <c r="T6" s="53" t="s">
        <v>10</v>
      </c>
      <c r="U6" s="52">
        <v>2.4405278700000001E-13</v>
      </c>
      <c r="V6" s="51">
        <f t="shared" ref="V6:V26" si="8">U6/0.000000000000001</f>
        <v>244.052787</v>
      </c>
      <c r="W6">
        <f t="shared" si="7"/>
        <v>0.69121114683815643</v>
      </c>
      <c r="X6" s="21"/>
      <c r="Y6" s="21"/>
      <c r="Z6" s="18"/>
      <c r="AA6" s="18"/>
    </row>
    <row r="7" spans="1:27" ht="15.75" customHeight="1">
      <c r="A7" s="11" t="s">
        <v>11</v>
      </c>
      <c r="B7" s="75">
        <v>1.9000000000000001E-4</v>
      </c>
      <c r="C7" s="76"/>
      <c r="D7" s="41">
        <v>203.77500000000001</v>
      </c>
      <c r="E7" s="39">
        <f>B7*EXP(-D7/(0.0083144626*(923.15)))</f>
        <v>5.6074868595692578E-16</v>
      </c>
      <c r="F7" s="39">
        <f t="shared" si="0"/>
        <v>0.56074868595692573</v>
      </c>
      <c r="G7" s="63">
        <f t="shared" si="2"/>
        <v>1.092041800643087</v>
      </c>
      <c r="H7" s="71">
        <v>1.8851335199999999E-4</v>
      </c>
      <c r="I7" s="72"/>
      <c r="J7" s="43">
        <v>205.21</v>
      </c>
      <c r="K7" s="44">
        <v>4.60803355E-16</v>
      </c>
      <c r="L7" s="45">
        <f t="shared" si="3"/>
        <v>0.46080335499999997</v>
      </c>
      <c r="M7" s="45">
        <f t="shared" si="4"/>
        <v>1.0997320471597001</v>
      </c>
      <c r="N7" s="13">
        <v>1.4011336500000001E-4</v>
      </c>
      <c r="O7" s="14">
        <v>199.03</v>
      </c>
      <c r="P7" s="13">
        <v>7.6621198600000004E-16</v>
      </c>
      <c r="Q7" s="13">
        <f t="shared" si="5"/>
        <v>0.76621198599999996</v>
      </c>
      <c r="R7" s="13">
        <f t="shared" si="6"/>
        <v>1.0666130760986068</v>
      </c>
      <c r="S7" s="54">
        <v>3.7598405599999999E-5</v>
      </c>
      <c r="T7" s="55">
        <v>171.631066</v>
      </c>
      <c r="U7" s="54">
        <v>7.3014648299999993E-15</v>
      </c>
      <c r="V7" s="51">
        <f t="shared" si="8"/>
        <v>7.3014648299999987</v>
      </c>
      <c r="W7">
        <f t="shared" si="7"/>
        <v>0.91978063236870311</v>
      </c>
      <c r="X7" s="17"/>
      <c r="Y7" s="17"/>
      <c r="Z7" s="15"/>
      <c r="AA7" s="15"/>
    </row>
    <row r="8" spans="1:27" ht="15.75" customHeight="1">
      <c r="A8" s="11" t="s">
        <v>12</v>
      </c>
      <c r="B8" s="75">
        <v>1.1E-4</v>
      </c>
      <c r="C8" s="76"/>
      <c r="D8" s="42">
        <v>192.97</v>
      </c>
      <c r="E8" s="39">
        <f>B8*EXP(-D8/(0.0083144626*(923.15)))</f>
        <v>1.3267076631053334E-15</v>
      </c>
      <c r="F8" s="39">
        <f t="shared" si="0"/>
        <v>1.3267076631053334</v>
      </c>
      <c r="G8" s="63">
        <f t="shared" si="2"/>
        <v>1.0341371918542337</v>
      </c>
      <c r="H8" s="65">
        <v>5.0978393300000005E-4</v>
      </c>
      <c r="I8" s="66"/>
      <c r="J8" s="43">
        <v>225.93</v>
      </c>
      <c r="K8" s="44">
        <v>8.3775413399999996E-17</v>
      </c>
      <c r="L8" s="45">
        <f t="shared" si="3"/>
        <v>8.3775413399999984E-2</v>
      </c>
      <c r="M8" s="45">
        <f t="shared" si="4"/>
        <v>1.2107717041800643</v>
      </c>
      <c r="N8" s="13">
        <v>2.2226082299999999E-4</v>
      </c>
      <c r="O8" s="14">
        <v>208.64</v>
      </c>
      <c r="P8" s="13">
        <v>3.4749581100000001E-16</v>
      </c>
      <c r="Q8" s="13">
        <f t="shared" si="5"/>
        <v>0.34749581099999999</v>
      </c>
      <c r="R8" s="13">
        <f t="shared" si="6"/>
        <v>1.1181136120042872</v>
      </c>
      <c r="S8" s="54">
        <v>3.7896934600000002E-5</v>
      </c>
      <c r="T8" s="55">
        <v>171.795785</v>
      </c>
      <c r="U8" s="54">
        <v>7.2031753899999997E-15</v>
      </c>
      <c r="V8" s="51">
        <f t="shared" si="8"/>
        <v>7.2031753899999993</v>
      </c>
      <c r="W8">
        <f t="shared" si="7"/>
        <v>0.920663370846731</v>
      </c>
      <c r="X8" s="21"/>
      <c r="Y8" s="21"/>
      <c r="Z8" s="18"/>
      <c r="AA8" s="18"/>
    </row>
    <row r="9" spans="1:27" ht="15.75" customHeight="1">
      <c r="A9" s="11" t="s">
        <v>13</v>
      </c>
      <c r="B9" s="75">
        <v>2.9000000000000002E-6</v>
      </c>
      <c r="C9" s="76"/>
      <c r="D9" s="42">
        <v>163.02000000000001</v>
      </c>
      <c r="E9" s="39">
        <f>B9*EXP(-D9/(0.0083144626*(923.15)))</f>
        <v>1.73144909920495E-15</v>
      </c>
      <c r="F9" s="39">
        <f t="shared" si="0"/>
        <v>1.7314490992049498</v>
      </c>
      <c r="G9" s="63">
        <f t="shared" si="2"/>
        <v>0.87363344051446956</v>
      </c>
      <c r="H9" s="65">
        <v>7.0450718599999998E-5</v>
      </c>
      <c r="I9" s="66"/>
      <c r="J9" s="43">
        <v>184.71</v>
      </c>
      <c r="K9" s="44">
        <v>2.4891628199999999E-15</v>
      </c>
      <c r="L9" s="45">
        <f t="shared" si="3"/>
        <v>2.4891628199999998</v>
      </c>
      <c r="M9" s="45">
        <f t="shared" si="4"/>
        <v>0.98987138263665597</v>
      </c>
      <c r="N9" s="13">
        <v>9.03000351E-5</v>
      </c>
      <c r="O9" s="14">
        <v>189.88</v>
      </c>
      <c r="P9" s="13">
        <v>1.6267127800000001E-15</v>
      </c>
      <c r="Q9" s="13">
        <f t="shared" si="5"/>
        <v>1.6267127799999999</v>
      </c>
      <c r="R9" s="13">
        <f t="shared" si="6"/>
        <v>1.017577706323687</v>
      </c>
      <c r="S9" s="56"/>
      <c r="T9" s="57"/>
      <c r="U9" s="54"/>
      <c r="V9" s="51">
        <f t="shared" si="8"/>
        <v>0</v>
      </c>
      <c r="W9">
        <f t="shared" si="7"/>
        <v>0</v>
      </c>
      <c r="X9" s="17"/>
      <c r="Y9" s="17"/>
      <c r="Z9" s="15"/>
      <c r="AA9" s="15"/>
    </row>
    <row r="10" spans="1:27" ht="15.75" customHeight="1">
      <c r="A10" s="11" t="s">
        <v>14</v>
      </c>
      <c r="B10" s="75">
        <v>1.9000000000000001E-4</v>
      </c>
      <c r="C10" s="76"/>
      <c r="D10" s="42">
        <v>206.6</v>
      </c>
      <c r="E10" s="39">
        <f>B10*EXP(-D10/(0.0083144626*(923.15)))</f>
        <v>3.8808269445522212E-16</v>
      </c>
      <c r="F10" s="39">
        <f t="shared" si="0"/>
        <v>0.38808269445522209</v>
      </c>
      <c r="G10" s="63">
        <f t="shared" si="2"/>
        <v>1.107181136120043</v>
      </c>
      <c r="H10" s="65">
        <v>2.31296841E-4</v>
      </c>
      <c r="I10" s="66"/>
      <c r="J10" s="43">
        <v>209.47</v>
      </c>
      <c r="K10" s="44">
        <v>3.24556814E-16</v>
      </c>
      <c r="L10" s="45">
        <f t="shared" si="3"/>
        <v>0.32455681399999997</v>
      </c>
      <c r="M10" s="45">
        <f t="shared" si="4"/>
        <v>1.122561629153269</v>
      </c>
      <c r="N10" s="13">
        <v>1.5057638999999999E-4</v>
      </c>
      <c r="O10" s="14">
        <v>200.53</v>
      </c>
      <c r="P10" s="13">
        <v>6.7724939199999996E-16</v>
      </c>
      <c r="Q10" s="13">
        <f t="shared" si="5"/>
        <v>0.67724939199999989</v>
      </c>
      <c r="R10" s="13">
        <f t="shared" si="6"/>
        <v>1.0746516613076098</v>
      </c>
      <c r="S10" s="54">
        <v>2.5548380100000001E-5</v>
      </c>
      <c r="T10" s="55">
        <v>163.58340999999999</v>
      </c>
      <c r="U10" s="54">
        <v>1.41573269E-14</v>
      </c>
      <c r="V10" s="51">
        <f t="shared" si="8"/>
        <v>14.157326899999999</v>
      </c>
      <c r="W10">
        <f t="shared" si="7"/>
        <v>0.87665278670953906</v>
      </c>
      <c r="X10" s="21"/>
      <c r="Y10" s="21"/>
      <c r="Z10" s="18"/>
      <c r="AA10" s="18"/>
    </row>
    <row r="11" spans="1:27" ht="15.75" customHeight="1">
      <c r="A11" s="11" t="s">
        <v>15</v>
      </c>
      <c r="B11" s="73">
        <v>4.1999999999999998E-5</v>
      </c>
      <c r="C11" s="74"/>
      <c r="D11" s="38">
        <v>162.9</v>
      </c>
      <c r="E11" s="39">
        <f>B11*EXP(-D11/(0.0083144626*(923.15)))</f>
        <v>2.5471284950008546E-14</v>
      </c>
      <c r="F11" s="39">
        <f t="shared" si="0"/>
        <v>25.471284950008545</v>
      </c>
      <c r="G11" s="63">
        <f t="shared" si="2"/>
        <v>0.87299035369774924</v>
      </c>
      <c r="H11" s="65">
        <v>2.9065843E-5</v>
      </c>
      <c r="I11" s="66"/>
      <c r="J11" s="43">
        <v>166.27</v>
      </c>
      <c r="K11" s="44">
        <v>1.13495822E-14</v>
      </c>
      <c r="L11" s="45">
        <f t="shared" si="3"/>
        <v>11.349582199999999</v>
      </c>
      <c r="M11" s="45">
        <f t="shared" si="4"/>
        <v>0.89105037513397645</v>
      </c>
      <c r="N11" s="13">
        <v>2.8485593600000001E-5</v>
      </c>
      <c r="O11" s="14">
        <v>165.85</v>
      </c>
      <c r="P11" s="13">
        <v>1.1748650000000001E-14</v>
      </c>
      <c r="Q11" s="13">
        <f t="shared" si="5"/>
        <v>11.74865</v>
      </c>
      <c r="R11" s="13">
        <f t="shared" si="6"/>
        <v>0.8887995712754555</v>
      </c>
      <c r="S11" s="54">
        <v>3.7298828899999997E-5</v>
      </c>
      <c r="T11" s="55">
        <v>171.464448</v>
      </c>
      <c r="U11" s="54">
        <v>7.4022514100000005E-15</v>
      </c>
      <c r="V11" s="51">
        <f t="shared" si="8"/>
        <v>7.4022514099999999</v>
      </c>
      <c r="W11">
        <f t="shared" si="7"/>
        <v>0.91888771704180072</v>
      </c>
      <c r="X11" s="17"/>
      <c r="Y11" s="17"/>
      <c r="Z11" s="15"/>
      <c r="AA11" s="15"/>
    </row>
    <row r="12" spans="1:27" ht="15.75" customHeight="1">
      <c r="A12" s="11" t="s">
        <v>16</v>
      </c>
      <c r="B12" s="67"/>
      <c r="C12" s="68"/>
      <c r="D12" s="40"/>
      <c r="E12" s="39">
        <f t="shared" si="1"/>
        <v>0</v>
      </c>
      <c r="F12" s="39">
        <f t="shared" si="0"/>
        <v>0</v>
      </c>
      <c r="G12" s="63">
        <f t="shared" si="2"/>
        <v>0</v>
      </c>
      <c r="H12" s="65">
        <v>3.4536641900000001E-4</v>
      </c>
      <c r="I12" s="66"/>
      <c r="J12" s="43">
        <v>217.82</v>
      </c>
      <c r="K12" s="44">
        <v>1.6327347299999999E-16</v>
      </c>
      <c r="L12" s="45">
        <f t="shared" si="3"/>
        <v>0.16327347299999997</v>
      </c>
      <c r="M12" s="45">
        <f t="shared" si="4"/>
        <v>1.1673097534833869</v>
      </c>
      <c r="N12" s="13">
        <v>1.1765762300000001E-3</v>
      </c>
      <c r="O12" s="14">
        <v>243.35</v>
      </c>
      <c r="P12" s="13">
        <v>1.99819664E-17</v>
      </c>
      <c r="Q12" s="13">
        <f t="shared" si="5"/>
        <v>1.9981966399999999E-2</v>
      </c>
      <c r="R12" s="13">
        <f t="shared" si="6"/>
        <v>1.3041264737406217</v>
      </c>
      <c r="S12" s="49">
        <v>1.98909585E-5</v>
      </c>
      <c r="T12" s="53" t="s">
        <v>17</v>
      </c>
      <c r="U12" s="49">
        <v>2.1740768000000001E-14</v>
      </c>
      <c r="V12" s="51">
        <f t="shared" si="8"/>
        <v>21.740767999999999</v>
      </c>
      <c r="W12">
        <f t="shared" si="7"/>
        <v>0.84871382636655956</v>
      </c>
      <c r="X12" s="21"/>
      <c r="Y12" s="21"/>
      <c r="Z12" s="18"/>
      <c r="AA12" s="18"/>
    </row>
    <row r="13" spans="1:27" ht="15.75" customHeight="1">
      <c r="A13" s="11" t="s">
        <v>18</v>
      </c>
      <c r="B13" s="67"/>
      <c r="C13" s="68"/>
      <c r="D13" s="40"/>
      <c r="E13" s="39">
        <f t="shared" si="1"/>
        <v>0</v>
      </c>
      <c r="F13" s="39">
        <f t="shared" si="0"/>
        <v>0</v>
      </c>
      <c r="G13" s="63">
        <f t="shared" si="2"/>
        <v>0</v>
      </c>
      <c r="H13" s="65">
        <v>1.0785459199999999E-4</v>
      </c>
      <c r="I13" s="66"/>
      <c r="J13" s="43">
        <v>193.58</v>
      </c>
      <c r="K13" s="44">
        <v>1.19976658E-15</v>
      </c>
      <c r="L13" s="45">
        <f t="shared" si="3"/>
        <v>1.1997665799999999</v>
      </c>
      <c r="M13" s="45">
        <f t="shared" si="4"/>
        <v>1.037406216505895</v>
      </c>
      <c r="N13" s="13">
        <v>1.8860388399999999E-4</v>
      </c>
      <c r="O13" s="14">
        <v>205.22</v>
      </c>
      <c r="P13" s="13">
        <v>4.60424365E-16</v>
      </c>
      <c r="Q13" s="13">
        <f t="shared" si="5"/>
        <v>0.46042436499999995</v>
      </c>
      <c r="R13" s="13">
        <f t="shared" si="6"/>
        <v>1.0997856377277599</v>
      </c>
      <c r="S13" s="52">
        <v>4.21679417E-5</v>
      </c>
      <c r="T13" s="53" t="s">
        <v>19</v>
      </c>
      <c r="U13" s="52">
        <v>5.9985309299999999E-15</v>
      </c>
      <c r="V13" s="51">
        <f t="shared" si="8"/>
        <v>5.9985309299999994</v>
      </c>
      <c r="W13">
        <f t="shared" si="7"/>
        <v>0.93258306538049307</v>
      </c>
      <c r="X13" s="17"/>
      <c r="Y13" s="17"/>
      <c r="Z13" s="15"/>
      <c r="AA13" s="15"/>
    </row>
    <row r="14" spans="1:27" ht="15.75" customHeight="1">
      <c r="A14" s="11" t="s">
        <v>20</v>
      </c>
      <c r="B14" s="75">
        <v>1.8E-5</v>
      </c>
      <c r="C14" s="76"/>
      <c r="D14" s="42">
        <v>179.6</v>
      </c>
      <c r="E14" s="39">
        <f>B14*EXP(-D14/(0.0083144626*(923.15)))</f>
        <v>1.2392405877374504E-15</v>
      </c>
      <c r="F14" s="39">
        <f t="shared" si="0"/>
        <v>1.2392405877374504</v>
      </c>
      <c r="G14" s="63">
        <f t="shared" si="2"/>
        <v>0.962486602357985</v>
      </c>
      <c r="H14" s="65">
        <v>1.16298889E-4</v>
      </c>
      <c r="I14" s="66"/>
      <c r="J14" s="43">
        <v>195.15</v>
      </c>
      <c r="K14" s="44">
        <v>1.0543749899999999E-15</v>
      </c>
      <c r="L14" s="45">
        <f t="shared" si="3"/>
        <v>1.0543749899999999</v>
      </c>
      <c r="M14" s="45">
        <f t="shared" si="4"/>
        <v>1.0458199356913185</v>
      </c>
      <c r="N14" s="13">
        <v>1.10369069E-4</v>
      </c>
      <c r="O14" s="14">
        <v>194.06</v>
      </c>
      <c r="P14" s="13">
        <v>1.1533062900000001E-15</v>
      </c>
      <c r="Q14" s="13">
        <f t="shared" si="5"/>
        <v>1.15330629</v>
      </c>
      <c r="R14" s="13">
        <f t="shared" si="6"/>
        <v>1.0399785637727761</v>
      </c>
      <c r="S14" s="47"/>
      <c r="T14" s="47"/>
      <c r="U14" s="48"/>
      <c r="V14" s="51">
        <f t="shared" si="8"/>
        <v>0</v>
      </c>
      <c r="W14">
        <f t="shared" si="7"/>
        <v>0</v>
      </c>
      <c r="X14" s="21"/>
      <c r="Y14" s="21"/>
      <c r="Z14" s="18"/>
      <c r="AA14" s="18"/>
    </row>
    <row r="15" spans="1:27" ht="15.75" customHeight="1">
      <c r="A15" s="11" t="s">
        <v>21</v>
      </c>
      <c r="B15" s="67"/>
      <c r="C15" s="68"/>
      <c r="D15" s="40"/>
      <c r="E15" s="39">
        <f t="shared" si="1"/>
        <v>0</v>
      </c>
      <c r="F15" s="39">
        <f t="shared" si="0"/>
        <v>0</v>
      </c>
      <c r="G15" s="63">
        <f t="shared" si="2"/>
        <v>0</v>
      </c>
      <c r="H15" s="65">
        <v>4.8845917099999997E-4</v>
      </c>
      <c r="I15" s="66"/>
      <c r="J15" s="43">
        <v>225.04</v>
      </c>
      <c r="K15" s="44">
        <v>9.0140390399999996E-17</v>
      </c>
      <c r="L15" s="45">
        <f t="shared" si="3"/>
        <v>9.0140390399999992E-2</v>
      </c>
      <c r="M15" s="45">
        <f t="shared" si="4"/>
        <v>1.2060021436227224</v>
      </c>
      <c r="N15" s="13">
        <v>1.7275572000000001E-3</v>
      </c>
      <c r="O15" s="14">
        <v>251.35</v>
      </c>
      <c r="P15" s="13">
        <v>1.03459378E-17</v>
      </c>
      <c r="Q15" s="13">
        <f t="shared" si="5"/>
        <v>1.03459378E-2</v>
      </c>
      <c r="R15" s="13">
        <f t="shared" si="6"/>
        <v>1.3469989281886388</v>
      </c>
      <c r="S15" s="49">
        <v>1.96441983E-5</v>
      </c>
      <c r="T15" s="53" t="s">
        <v>22</v>
      </c>
      <c r="U15" s="49">
        <v>2.2210871699999998E-14</v>
      </c>
      <c r="V15" s="51">
        <f t="shared" si="8"/>
        <v>22.210871699999998</v>
      </c>
      <c r="W15">
        <f t="shared" si="7"/>
        <v>0.84732047159699908</v>
      </c>
      <c r="X15" s="17"/>
      <c r="Y15" s="17"/>
      <c r="Z15" s="15"/>
      <c r="AA15" s="15"/>
    </row>
    <row r="16" spans="1:27" ht="15.75" customHeight="1">
      <c r="A16" s="11" t="s">
        <v>23</v>
      </c>
      <c r="B16" s="67"/>
      <c r="C16" s="68"/>
      <c r="D16" s="40"/>
      <c r="E16" s="39">
        <f t="shared" si="1"/>
        <v>0</v>
      </c>
      <c r="F16" s="39">
        <f t="shared" si="0"/>
        <v>0</v>
      </c>
      <c r="G16" s="63">
        <f t="shared" si="2"/>
        <v>0</v>
      </c>
      <c r="H16" s="65">
        <v>4.1969846700000001E-4</v>
      </c>
      <c r="I16" s="66"/>
      <c r="J16" s="43">
        <v>221.88</v>
      </c>
      <c r="K16" s="44">
        <v>1.16906171E-16</v>
      </c>
      <c r="L16" s="45">
        <f t="shared" si="3"/>
        <v>0.11690617099999999</v>
      </c>
      <c r="M16" s="45">
        <f t="shared" si="4"/>
        <v>1.1890675241157556</v>
      </c>
      <c r="N16" s="13">
        <v>1.4408328299999999E-3</v>
      </c>
      <c r="O16" s="14">
        <v>247.57</v>
      </c>
      <c r="P16" s="13">
        <v>1.4120259099999999E-17</v>
      </c>
      <c r="Q16" s="13">
        <f t="shared" si="5"/>
        <v>1.4120259099999997E-2</v>
      </c>
      <c r="R16" s="13">
        <f t="shared" si="6"/>
        <v>1.3267416934619507</v>
      </c>
      <c r="S16" s="52">
        <v>1.6438987899999999E-5</v>
      </c>
      <c r="T16" s="53" t="s">
        <v>24</v>
      </c>
      <c r="U16" s="52">
        <v>3.0139570300000003E-14</v>
      </c>
      <c r="V16" s="51">
        <f t="shared" si="8"/>
        <v>30.139570299999999</v>
      </c>
      <c r="W16">
        <f t="shared" si="7"/>
        <v>0.827438370846731</v>
      </c>
      <c r="X16" s="24"/>
      <c r="Y16" s="24"/>
      <c r="Z16" s="25"/>
      <c r="AA16" s="25"/>
    </row>
    <row r="17" spans="1:23" ht="15.75" customHeight="1">
      <c r="A17" s="11" t="s">
        <v>25</v>
      </c>
      <c r="B17" s="75">
        <v>1.5E-3</v>
      </c>
      <c r="C17" s="76"/>
      <c r="D17" s="42">
        <v>217.3</v>
      </c>
      <c r="E17" s="39">
        <f>B17*EXP(-D17/(0.0083144626*(923.15)))</f>
        <v>7.6003772636232239E-16</v>
      </c>
      <c r="F17" s="39">
        <f t="shared" si="0"/>
        <v>0.76003772636232236</v>
      </c>
      <c r="G17" s="63">
        <f t="shared" si="2"/>
        <v>1.164523043944266</v>
      </c>
      <c r="H17" s="65">
        <v>1.6953532399999999E-4</v>
      </c>
      <c r="I17" s="66"/>
      <c r="J17" s="43">
        <v>203</v>
      </c>
      <c r="K17" s="44">
        <v>5.5269656699999996E-16</v>
      </c>
      <c r="L17" s="45">
        <f t="shared" si="3"/>
        <v>0.55269656699999992</v>
      </c>
      <c r="M17" s="45">
        <f t="shared" si="4"/>
        <v>1.0878885316184352</v>
      </c>
      <c r="N17" s="13">
        <v>1.3354511800000001E-4</v>
      </c>
      <c r="O17" s="14">
        <v>198.03</v>
      </c>
      <c r="P17" s="13">
        <v>8.3192176399999998E-16</v>
      </c>
      <c r="Q17" s="13">
        <f t="shared" si="5"/>
        <v>0.83192176399999995</v>
      </c>
      <c r="R17" s="13">
        <f t="shared" si="6"/>
        <v>1.0612540192926045</v>
      </c>
      <c r="S17" s="54">
        <v>4.0820275799999997E-5</v>
      </c>
      <c r="T17" s="55">
        <v>173.343481</v>
      </c>
      <c r="U17" s="48"/>
      <c r="V17" s="51">
        <f t="shared" si="8"/>
        <v>0</v>
      </c>
      <c r="W17">
        <f t="shared" si="7"/>
        <v>0.92895756162915333</v>
      </c>
    </row>
    <row r="18" spans="1:23" ht="15.75" customHeight="1">
      <c r="A18" s="11" t="s">
        <v>26</v>
      </c>
      <c r="B18" s="67"/>
      <c r="C18" s="68"/>
      <c r="D18" s="40"/>
      <c r="E18" s="39">
        <f t="shared" si="1"/>
        <v>0</v>
      </c>
      <c r="F18" s="39">
        <f t="shared" si="0"/>
        <v>0</v>
      </c>
      <c r="G18" s="63">
        <f t="shared" si="2"/>
        <v>0</v>
      </c>
      <c r="H18" s="65">
        <v>2.4230119999999998E-5</v>
      </c>
      <c r="I18" s="66"/>
      <c r="J18" s="43">
        <v>162.47999999999999</v>
      </c>
      <c r="K18" s="44">
        <v>1.5502795299999999E-14</v>
      </c>
      <c r="L18" s="45">
        <f t="shared" si="3"/>
        <v>15.502795299999997</v>
      </c>
      <c r="M18" s="45">
        <f t="shared" si="4"/>
        <v>0.8707395498392283</v>
      </c>
      <c r="N18" s="13">
        <v>2.0198922699999999E-5</v>
      </c>
      <c r="O18" s="14">
        <v>158.69</v>
      </c>
      <c r="P18" s="13">
        <v>2.11758157E-14</v>
      </c>
      <c r="Q18" s="13">
        <f t="shared" si="5"/>
        <v>21.175815699999998</v>
      </c>
      <c r="R18" s="13">
        <f t="shared" si="6"/>
        <v>0.85042872454448015</v>
      </c>
      <c r="S18" s="49">
        <v>7.3343324400000002E-6</v>
      </c>
      <c r="T18" s="53" t="s">
        <v>27</v>
      </c>
      <c r="U18" s="49">
        <v>1.20176056E-13</v>
      </c>
      <c r="V18" s="51">
        <f t="shared" si="8"/>
        <v>120.17605599999999</v>
      </c>
      <c r="W18">
        <f t="shared" si="7"/>
        <v>0.73735262593783502</v>
      </c>
    </row>
    <row r="19" spans="1:23" ht="15.75" customHeight="1">
      <c r="A19" s="11" t="s">
        <v>28</v>
      </c>
      <c r="B19" s="67"/>
      <c r="C19" s="68"/>
      <c r="D19" s="40"/>
      <c r="E19" s="39">
        <f t="shared" si="1"/>
        <v>0</v>
      </c>
      <c r="F19" s="39">
        <f t="shared" si="0"/>
        <v>0</v>
      </c>
      <c r="G19" s="63">
        <f t="shared" si="2"/>
        <v>0</v>
      </c>
      <c r="H19" s="65">
        <v>1.7051492000000001E-4</v>
      </c>
      <c r="I19" s="66"/>
      <c r="J19" s="43">
        <v>203.12</v>
      </c>
      <c r="K19" s="44">
        <v>5.47266346E-16</v>
      </c>
      <c r="L19" s="45">
        <f t="shared" si="3"/>
        <v>0.54726634600000001</v>
      </c>
      <c r="M19" s="45">
        <f t="shared" si="4"/>
        <v>1.0885316184351554</v>
      </c>
      <c r="N19" s="13">
        <v>3.6027113500000001E-4</v>
      </c>
      <c r="O19" s="14">
        <v>218.7</v>
      </c>
      <c r="P19" s="13">
        <v>1.51869342E-16</v>
      </c>
      <c r="Q19" s="13">
        <f t="shared" si="5"/>
        <v>0.15186934199999999</v>
      </c>
      <c r="R19" s="13">
        <f t="shared" si="6"/>
        <v>1.1720257234726688</v>
      </c>
      <c r="S19" s="52">
        <v>4.0442831900000001E-5</v>
      </c>
      <c r="T19" s="53" t="s">
        <v>29</v>
      </c>
      <c r="U19" s="52">
        <v>6.4436669699999998E-15</v>
      </c>
      <c r="V19" s="51">
        <f t="shared" si="8"/>
        <v>6.4436669699999989</v>
      </c>
      <c r="W19">
        <f t="shared" si="7"/>
        <v>0.92792068595927124</v>
      </c>
    </row>
    <row r="20" spans="1:23" ht="15.75" customHeight="1">
      <c r="A20" s="11" t="s">
        <v>30</v>
      </c>
      <c r="B20" s="67"/>
      <c r="C20" s="68"/>
      <c r="D20" s="40"/>
      <c r="E20" s="39">
        <f t="shared" si="1"/>
        <v>0</v>
      </c>
      <c r="F20" s="39">
        <f t="shared" si="0"/>
        <v>0</v>
      </c>
      <c r="G20" s="63">
        <f t="shared" si="2"/>
        <v>0</v>
      </c>
      <c r="H20" s="65">
        <v>1.10422073E-4</v>
      </c>
      <c r="I20" s="66"/>
      <c r="J20" s="43">
        <v>194.07</v>
      </c>
      <c r="K20" s="44">
        <v>1.1523577400000001E-15</v>
      </c>
      <c r="L20" s="45">
        <f t="shared" si="3"/>
        <v>1.15235774</v>
      </c>
      <c r="M20" s="45">
        <f t="shared" si="4"/>
        <v>1.040032154340836</v>
      </c>
      <c r="N20" s="13">
        <v>8.6605819200000005E-5</v>
      </c>
      <c r="O20" s="14">
        <v>189.01</v>
      </c>
      <c r="P20" s="13">
        <v>1.74742708E-15</v>
      </c>
      <c r="Q20" s="13">
        <f t="shared" si="5"/>
        <v>1.7474270799999998</v>
      </c>
      <c r="R20" s="13">
        <f t="shared" si="6"/>
        <v>1.0129153269024651</v>
      </c>
      <c r="S20" s="49">
        <v>1.32066305E-5</v>
      </c>
      <c r="T20" s="53" t="s">
        <v>31</v>
      </c>
      <c r="U20" s="49">
        <v>4.3861352700000001E-14</v>
      </c>
      <c r="V20" s="51">
        <f t="shared" si="8"/>
        <v>43.861352699999998</v>
      </c>
      <c r="W20">
        <f t="shared" si="7"/>
        <v>0.80300107181136127</v>
      </c>
    </row>
    <row r="21" spans="1:23" ht="15.75" customHeight="1">
      <c r="A21" s="11" t="s">
        <v>32</v>
      </c>
      <c r="B21" s="73">
        <v>1.3300000000000001E-4</v>
      </c>
      <c r="C21" s="74"/>
      <c r="D21" s="38">
        <v>198</v>
      </c>
      <c r="E21" s="39">
        <f>B21*EXP(-D21/(0.0083144626*(923.15)))</f>
        <v>8.3296551638843614E-16</v>
      </c>
      <c r="F21" s="39">
        <f t="shared" si="0"/>
        <v>0.83296551638843608</v>
      </c>
      <c r="G21" s="63">
        <f t="shared" si="2"/>
        <v>1.0610932475884245</v>
      </c>
      <c r="H21" s="65">
        <v>3.0674450400000001E-4</v>
      </c>
      <c r="I21" s="66"/>
      <c r="J21" s="43">
        <v>215.35</v>
      </c>
      <c r="K21" s="44">
        <v>2.00067933E-16</v>
      </c>
      <c r="L21" s="45">
        <f t="shared" si="3"/>
        <v>0.20006793299999998</v>
      </c>
      <c r="M21" s="45">
        <f t="shared" si="4"/>
        <v>1.1540728831725617</v>
      </c>
      <c r="N21" s="13">
        <v>1.72077536E-4</v>
      </c>
      <c r="O21" s="14">
        <v>203.31</v>
      </c>
      <c r="P21" s="13">
        <v>5.3877739799999999E-16</v>
      </c>
      <c r="Q21" s="13">
        <f t="shared" si="5"/>
        <v>0.53877739799999991</v>
      </c>
      <c r="R21" s="13">
        <f t="shared" si="6"/>
        <v>1.0895498392282958</v>
      </c>
      <c r="S21" s="54">
        <v>4.3609236700000002E-5</v>
      </c>
      <c r="T21" s="55">
        <v>174.72</v>
      </c>
      <c r="U21" s="54">
        <v>5.66280258E-15</v>
      </c>
      <c r="V21" s="51">
        <f t="shared" si="8"/>
        <v>5.6628025799999993</v>
      </c>
      <c r="W21">
        <f t="shared" si="7"/>
        <v>0.93633440514469457</v>
      </c>
    </row>
    <row r="22" spans="1:23" ht="15.75" customHeight="1">
      <c r="A22" s="11" t="s">
        <v>33</v>
      </c>
      <c r="B22" s="75">
        <v>2.72E-4</v>
      </c>
      <c r="C22" s="76"/>
      <c r="D22" s="38">
        <v>209</v>
      </c>
      <c r="E22" s="39">
        <f>B22*EXP(-D22/(0.0083144626*(923.15)))</f>
        <v>4.0638991129847698E-16</v>
      </c>
      <c r="F22" s="39">
        <f t="shared" si="0"/>
        <v>0.40638991129847696</v>
      </c>
      <c r="G22" s="63">
        <f t="shared" si="2"/>
        <v>1.120042872454448</v>
      </c>
      <c r="H22" s="65">
        <v>4.5299284399999998E-4</v>
      </c>
      <c r="I22" s="66"/>
      <c r="J22" s="43">
        <v>223.47</v>
      </c>
      <c r="K22" s="44">
        <v>1.02570176E-16</v>
      </c>
      <c r="L22" s="45">
        <f t="shared" si="3"/>
        <v>0.10257017599999999</v>
      </c>
      <c r="M22" s="45">
        <f t="shared" si="4"/>
        <v>1.197588424437299</v>
      </c>
      <c r="N22" s="13">
        <v>2.1357781300000001E-4</v>
      </c>
      <c r="O22" s="14">
        <v>207.81</v>
      </c>
      <c r="P22" s="13">
        <v>3.72056088E-16</v>
      </c>
      <c r="Q22" s="13">
        <f t="shared" si="5"/>
        <v>0.37205608799999995</v>
      </c>
      <c r="R22" s="13">
        <f t="shared" si="6"/>
        <v>1.1136655948553056</v>
      </c>
      <c r="S22" s="54">
        <v>4.0813454200000002E-5</v>
      </c>
      <c r="T22" s="55">
        <v>173.34</v>
      </c>
      <c r="U22" s="54">
        <v>6.3437157199999997E-15</v>
      </c>
      <c r="V22" s="51">
        <f t="shared" si="8"/>
        <v>6.3437157199999987</v>
      </c>
      <c r="W22">
        <f t="shared" si="7"/>
        <v>0.92893890675241164</v>
      </c>
    </row>
    <row r="23" spans="1:23" ht="15.75" customHeight="1">
      <c r="A23" s="11" t="s">
        <v>34</v>
      </c>
      <c r="B23" s="67"/>
      <c r="C23" s="68"/>
      <c r="D23" s="40"/>
      <c r="E23" s="39">
        <f t="shared" si="1"/>
        <v>0</v>
      </c>
      <c r="F23" s="39">
        <f t="shared" si="0"/>
        <v>0</v>
      </c>
      <c r="G23" s="63">
        <f t="shared" si="2"/>
        <v>0</v>
      </c>
      <c r="H23" s="65">
        <v>1.0812381199999999E-3</v>
      </c>
      <c r="I23" s="66"/>
      <c r="J23" s="43">
        <v>241.59</v>
      </c>
      <c r="K23" s="44">
        <v>2.3095600799999999E-17</v>
      </c>
      <c r="L23" s="45">
        <f t="shared" si="3"/>
        <v>2.3095600799999998E-2</v>
      </c>
      <c r="M23" s="45">
        <f t="shared" si="4"/>
        <v>1.2946945337620579</v>
      </c>
      <c r="N23" s="13">
        <v>3.2403184E-3</v>
      </c>
      <c r="O23" s="14">
        <v>264.45</v>
      </c>
      <c r="P23" s="13">
        <v>3.5209546000000003E-18</v>
      </c>
      <c r="Q23" s="13">
        <f t="shared" si="5"/>
        <v>3.5209546E-3</v>
      </c>
      <c r="R23" s="13">
        <f t="shared" si="6"/>
        <v>1.4172025723472668</v>
      </c>
      <c r="S23" s="52">
        <v>1.99387666E-5</v>
      </c>
      <c r="T23" s="53" t="s">
        <v>35</v>
      </c>
      <c r="U23" s="52">
        <v>2.1651510800000001E-14</v>
      </c>
      <c r="V23" s="51">
        <f t="shared" si="8"/>
        <v>21.651510800000001</v>
      </c>
      <c r="W23">
        <f t="shared" si="7"/>
        <v>0.84898177920685958</v>
      </c>
    </row>
    <row r="24" spans="1:23" ht="15.75" customHeight="1">
      <c r="A24" s="11" t="s">
        <v>36</v>
      </c>
      <c r="B24" s="67"/>
      <c r="C24" s="68"/>
      <c r="D24" s="40"/>
      <c r="E24" s="39">
        <f t="shared" si="1"/>
        <v>0</v>
      </c>
      <c r="F24" s="39">
        <f t="shared" si="0"/>
        <v>0</v>
      </c>
      <c r="G24" s="63">
        <f t="shared" si="2"/>
        <v>0</v>
      </c>
      <c r="H24" s="65">
        <v>1.88061345E-4</v>
      </c>
      <c r="I24" s="66"/>
      <c r="J24" s="43">
        <v>205.16</v>
      </c>
      <c r="K24" s="44">
        <v>4.6270299400000004E-16</v>
      </c>
      <c r="L24" s="45">
        <f t="shared" si="3"/>
        <v>0.46270299399999998</v>
      </c>
      <c r="M24" s="45">
        <f t="shared" si="4"/>
        <v>1.0994640943193998</v>
      </c>
      <c r="N24" s="13">
        <v>5.1693161300000003E-4</v>
      </c>
      <c r="O24" s="14">
        <v>226.22</v>
      </c>
      <c r="P24" s="13">
        <v>8.1800103200000001E-17</v>
      </c>
      <c r="Q24" s="13">
        <f t="shared" si="5"/>
        <v>8.1800103199999988E-2</v>
      </c>
      <c r="R24" s="13">
        <f t="shared" si="6"/>
        <v>1.2123258306538049</v>
      </c>
      <c r="S24" s="49">
        <v>5.6192020300000003E-5</v>
      </c>
      <c r="T24" s="53">
        <v>180</v>
      </c>
      <c r="U24" s="58">
        <v>3.6674001900000004E-15</v>
      </c>
      <c r="V24" s="51">
        <f t="shared" si="8"/>
        <v>3.6674001899999999</v>
      </c>
      <c r="W24">
        <f t="shared" si="7"/>
        <v>0.96463022508038587</v>
      </c>
    </row>
    <row r="25" spans="1:23" ht="15.75" customHeight="1">
      <c r="A25" s="11" t="s">
        <v>37</v>
      </c>
      <c r="B25" s="67"/>
      <c r="C25" s="68"/>
      <c r="D25" s="40"/>
      <c r="E25" s="39">
        <f t="shared" si="1"/>
        <v>0</v>
      </c>
      <c r="F25" s="39">
        <f t="shared" si="0"/>
        <v>0</v>
      </c>
      <c r="G25" s="63">
        <f t="shared" si="2"/>
        <v>0</v>
      </c>
      <c r="H25" s="65">
        <v>3.3360062800000002E-5</v>
      </c>
      <c r="I25" s="66"/>
      <c r="J25" s="43">
        <v>169.14</v>
      </c>
      <c r="K25" s="44">
        <v>8.9624057599999996E-15</v>
      </c>
      <c r="L25" s="45">
        <f t="shared" si="3"/>
        <v>8.9624057599999993</v>
      </c>
      <c r="M25" s="45">
        <f t="shared" si="4"/>
        <v>0.90643086816720253</v>
      </c>
      <c r="N25" s="13">
        <v>4.4476194299999998E-5</v>
      </c>
      <c r="O25" s="14">
        <v>175.13</v>
      </c>
      <c r="P25" s="13">
        <v>5.47495643E-15</v>
      </c>
      <c r="Q25" s="13">
        <f t="shared" si="5"/>
        <v>5.4749564299999998</v>
      </c>
      <c r="R25" s="13">
        <f t="shared" si="6"/>
        <v>0.93853161843515542</v>
      </c>
      <c r="S25" s="54">
        <v>3.9445617099999999E-5</v>
      </c>
      <c r="T25" s="55">
        <v>172.63</v>
      </c>
      <c r="U25" s="54">
        <v>6.7253444099999997E-15</v>
      </c>
      <c r="V25" s="51">
        <f t="shared" si="8"/>
        <v>6.7253444099999991</v>
      </c>
      <c r="W25">
        <f t="shared" si="7"/>
        <v>0.92513397642015005</v>
      </c>
    </row>
    <row r="26" spans="1:23" ht="15.75" customHeight="1">
      <c r="A26" s="11" t="s">
        <v>38</v>
      </c>
      <c r="B26" s="67"/>
      <c r="C26" s="68"/>
      <c r="D26" s="40"/>
      <c r="E26" s="39">
        <f t="shared" si="1"/>
        <v>0</v>
      </c>
      <c r="F26" s="39">
        <f t="shared" si="0"/>
        <v>0</v>
      </c>
      <c r="G26" s="63">
        <f t="shared" si="2"/>
        <v>0</v>
      </c>
      <c r="H26" s="65">
        <v>2.30963926E-4</v>
      </c>
      <c r="I26" s="66"/>
      <c r="J26" s="43">
        <v>209.44</v>
      </c>
      <c r="K26" s="44">
        <v>3.2535893500000002E-16</v>
      </c>
      <c r="L26" s="45">
        <f t="shared" si="3"/>
        <v>0.32535893500000002</v>
      </c>
      <c r="M26" s="45">
        <f t="shared" si="4"/>
        <v>1.1224008574490889</v>
      </c>
      <c r="N26" s="13">
        <v>6.1712806299999996E-4</v>
      </c>
      <c r="O26" s="14">
        <v>229.91</v>
      </c>
      <c r="P26" s="13">
        <v>6.0380550799999997E-17</v>
      </c>
      <c r="Q26" s="13">
        <f t="shared" si="5"/>
        <v>6.0380550799999995E-2</v>
      </c>
      <c r="R26" s="13">
        <f t="shared" si="6"/>
        <v>1.2321007502679528</v>
      </c>
      <c r="S26" s="59">
        <v>3.2600000000000001E-6</v>
      </c>
      <c r="T26" s="53" t="s">
        <v>39</v>
      </c>
      <c r="U26" s="49">
        <v>3.6674001900000004E-15</v>
      </c>
      <c r="V26" s="51">
        <f t="shared" si="8"/>
        <v>3.6674001899999999</v>
      </c>
      <c r="W26">
        <f t="shared" si="7"/>
        <v>0.87202572347266882</v>
      </c>
    </row>
    <row r="30" spans="1:23" ht="15.75" customHeight="1">
      <c r="H30" s="1"/>
      <c r="I30" s="2"/>
      <c r="J30" s="2"/>
      <c r="K30" s="16"/>
      <c r="L30" s="17"/>
      <c r="M30" s="17"/>
      <c r="N30" s="17"/>
      <c r="O30" s="17"/>
      <c r="P30" s="15"/>
      <c r="Q30" s="15"/>
      <c r="R30" s="15"/>
      <c r="S30" s="15"/>
    </row>
    <row r="31" spans="1:23" ht="15.75" customHeight="1">
      <c r="H31" s="1"/>
      <c r="I31" s="2"/>
      <c r="J31" s="2"/>
      <c r="K31" s="20"/>
      <c r="L31" s="21"/>
      <c r="M31" s="21"/>
      <c r="N31" s="21"/>
      <c r="O31" s="20"/>
      <c r="P31" s="26"/>
      <c r="Q31" s="26"/>
      <c r="R31" s="26"/>
      <c r="S31" s="26"/>
      <c r="T31" s="20"/>
    </row>
    <row r="32" spans="1:23" ht="15.75" customHeight="1">
      <c r="H32" s="1"/>
      <c r="I32" s="2"/>
      <c r="J32" s="2"/>
      <c r="K32" s="16"/>
      <c r="L32" s="17"/>
      <c r="M32" s="17"/>
      <c r="N32" s="17"/>
      <c r="O32" s="23"/>
      <c r="P32" s="22"/>
      <c r="Q32" s="22"/>
      <c r="R32" s="22"/>
      <c r="S32" s="22"/>
      <c r="T32" s="22"/>
    </row>
    <row r="33" spans="8:27" ht="15.75" customHeight="1">
      <c r="H33" s="1"/>
      <c r="I33" s="2"/>
      <c r="J33" s="2"/>
      <c r="K33" s="20"/>
      <c r="L33" s="21"/>
      <c r="M33" s="21"/>
      <c r="N33" s="21"/>
      <c r="O33" s="23"/>
      <c r="P33" s="22"/>
      <c r="Q33" s="22"/>
      <c r="R33" s="22"/>
      <c r="S33" s="22"/>
      <c r="T33" s="22"/>
    </row>
    <row r="34" spans="8:27" ht="15.75" customHeight="1">
      <c r="H34" s="1"/>
      <c r="I34" s="2"/>
      <c r="J34" s="2"/>
      <c r="K34" s="16"/>
      <c r="L34" s="17"/>
      <c r="M34" s="17"/>
      <c r="N34" s="17"/>
      <c r="O34" s="17"/>
      <c r="P34" s="15"/>
      <c r="Q34" s="15"/>
      <c r="R34" s="15"/>
      <c r="S34" s="15"/>
    </row>
    <row r="35" spans="8:27" ht="15">
      <c r="H35" s="1"/>
      <c r="I35" s="2"/>
      <c r="J35" s="2"/>
      <c r="K35" s="23"/>
      <c r="L35" s="23"/>
      <c r="M35" s="23"/>
      <c r="N35" s="23"/>
      <c r="O35" s="22"/>
      <c r="P35" s="22"/>
      <c r="Q35" s="22"/>
      <c r="R35" s="22"/>
      <c r="S35" s="27"/>
      <c r="T35" s="28"/>
      <c r="U35" s="29"/>
      <c r="V35" s="12"/>
      <c r="W35" s="12"/>
      <c r="X35" s="30"/>
      <c r="Y35" s="31"/>
      <c r="Z35" s="32"/>
      <c r="AA35" s="30"/>
    </row>
    <row r="36" spans="8:27" ht="15">
      <c r="H36" s="1"/>
      <c r="I36" s="2"/>
      <c r="J36" s="2"/>
      <c r="K36" s="23"/>
      <c r="L36" s="23"/>
      <c r="M36" s="23"/>
      <c r="N36" s="23"/>
      <c r="O36" s="22"/>
      <c r="P36" s="22"/>
      <c r="Q36" s="22"/>
      <c r="R36" s="22"/>
      <c r="S36" s="33"/>
      <c r="T36" s="28"/>
      <c r="U36" s="29"/>
      <c r="V36" s="12"/>
      <c r="W36" s="12"/>
      <c r="X36" s="34"/>
      <c r="Y36" s="35"/>
      <c r="Z36" s="32"/>
      <c r="AA36" s="30"/>
    </row>
    <row r="37" spans="8:27" ht="15">
      <c r="H37" s="1"/>
      <c r="I37" s="2"/>
      <c r="J37" s="2"/>
      <c r="K37" s="23"/>
      <c r="L37" s="23"/>
      <c r="M37" s="23"/>
      <c r="N37" s="23"/>
      <c r="O37" s="22"/>
      <c r="P37" s="22"/>
      <c r="Q37" s="22"/>
      <c r="R37" s="22"/>
      <c r="S37" s="33"/>
      <c r="T37" s="28"/>
      <c r="U37" s="19"/>
      <c r="V37" s="12"/>
      <c r="W37" s="12"/>
      <c r="X37" s="34"/>
      <c r="Y37" s="28"/>
      <c r="Z37" s="28"/>
      <c r="AA37" s="28"/>
    </row>
    <row r="38" spans="8:27" ht="15">
      <c r="H38" s="1"/>
      <c r="I38" s="2"/>
      <c r="J38" s="2"/>
      <c r="K38" s="23"/>
      <c r="L38" s="23"/>
      <c r="M38" s="23"/>
      <c r="N38" s="23"/>
      <c r="O38" s="22"/>
      <c r="P38" s="22"/>
      <c r="Q38" s="22"/>
      <c r="R38" s="22"/>
      <c r="S38" s="33"/>
      <c r="T38" s="28"/>
      <c r="U38" s="29"/>
      <c r="V38" s="12"/>
      <c r="W38" s="12"/>
      <c r="X38" s="5"/>
      <c r="Y38" s="35"/>
      <c r="Z38" s="32"/>
      <c r="AA38" s="30"/>
    </row>
    <row r="39" spans="8:27" ht="15">
      <c r="H39" s="1"/>
      <c r="I39" s="2"/>
      <c r="J39" s="2"/>
      <c r="K39" s="23"/>
      <c r="L39" s="23"/>
      <c r="M39" s="23"/>
      <c r="N39" s="23"/>
      <c r="O39" s="22"/>
      <c r="P39" s="22"/>
      <c r="Q39" s="22"/>
      <c r="R39" s="22"/>
      <c r="S39" s="33"/>
      <c r="T39" s="28"/>
      <c r="U39" s="29"/>
      <c r="V39" s="12"/>
      <c r="W39" s="12"/>
      <c r="X39" s="5"/>
      <c r="Y39" s="32"/>
      <c r="Z39" s="32"/>
      <c r="AA39" s="5"/>
    </row>
    <row r="40" spans="8:27" ht="15">
      <c r="H40" s="1"/>
      <c r="I40" s="2"/>
      <c r="J40" s="2"/>
      <c r="K40" s="23"/>
      <c r="L40" s="23"/>
      <c r="M40" s="23"/>
      <c r="N40" s="23"/>
      <c r="O40" s="22"/>
      <c r="P40" s="22"/>
      <c r="Q40" s="22"/>
      <c r="R40" s="22"/>
      <c r="S40" s="36"/>
      <c r="T40" s="28"/>
      <c r="U40" s="19"/>
      <c r="V40" s="12"/>
      <c r="W40" s="12"/>
      <c r="X40" s="5"/>
      <c r="Y40" s="35"/>
      <c r="Z40" s="32"/>
      <c r="AA40" s="28"/>
    </row>
    <row r="41" spans="8:27" ht="15">
      <c r="H41" s="1"/>
      <c r="I41" s="2"/>
      <c r="J41" s="2"/>
      <c r="K41" s="23"/>
      <c r="L41" s="23"/>
      <c r="M41" s="23"/>
      <c r="N41" s="23"/>
      <c r="O41" s="22"/>
      <c r="P41" s="22"/>
      <c r="Q41" s="22"/>
      <c r="R41" s="22"/>
      <c r="S41" s="36"/>
      <c r="T41" s="28"/>
      <c r="U41" s="29"/>
      <c r="V41" s="12"/>
      <c r="W41" s="12"/>
      <c r="X41" s="5"/>
      <c r="Y41" s="35"/>
      <c r="Z41" s="32"/>
      <c r="AA41" s="37"/>
    </row>
    <row r="42" spans="8:27" ht="15">
      <c r="H42" s="1"/>
      <c r="I42" s="2"/>
      <c r="J42" s="2"/>
      <c r="K42" s="16"/>
      <c r="L42" s="17"/>
      <c r="M42" s="17"/>
      <c r="N42" s="17"/>
      <c r="O42" s="17"/>
      <c r="P42" s="15"/>
      <c r="Q42" s="15"/>
      <c r="R42" s="15"/>
      <c r="S42" s="27"/>
      <c r="T42" s="28"/>
      <c r="U42" s="29"/>
      <c r="V42" s="12"/>
      <c r="W42" s="12"/>
      <c r="X42" s="5"/>
      <c r="Y42" s="35"/>
      <c r="Z42" s="32"/>
      <c r="AA42" s="5"/>
    </row>
    <row r="43" spans="8:27" ht="15">
      <c r="H43" s="1"/>
      <c r="I43" s="2"/>
      <c r="J43" s="2"/>
      <c r="K43" s="20"/>
      <c r="L43" s="21"/>
      <c r="M43" s="21"/>
      <c r="N43" s="21"/>
      <c r="O43" s="21"/>
      <c r="P43" s="18"/>
      <c r="Q43" s="18"/>
      <c r="R43" s="18"/>
      <c r="S43" s="33"/>
      <c r="T43" s="28"/>
      <c r="U43" s="29"/>
      <c r="V43" s="12"/>
      <c r="W43" s="12"/>
      <c r="X43" s="5"/>
      <c r="Y43" s="35"/>
      <c r="Z43" s="32"/>
      <c r="AA43" s="5"/>
    </row>
    <row r="44" spans="8:27" ht="15">
      <c r="H44" s="1"/>
      <c r="I44" s="2"/>
      <c r="J44" s="2"/>
      <c r="K44" s="16"/>
      <c r="L44" s="17"/>
      <c r="M44" s="17"/>
      <c r="N44" s="17"/>
      <c r="O44" s="17"/>
      <c r="P44" s="15"/>
      <c r="Q44" s="15"/>
      <c r="R44" s="15"/>
      <c r="S44" s="15"/>
    </row>
    <row r="45" spans="8:27" ht="15">
      <c r="H45" s="1"/>
      <c r="I45" s="2"/>
      <c r="J45" s="2"/>
      <c r="K45" s="20"/>
      <c r="L45" s="21"/>
      <c r="M45" s="21"/>
      <c r="N45" s="21"/>
      <c r="O45" s="21"/>
      <c r="P45" s="18"/>
      <c r="Q45" s="18"/>
      <c r="R45" s="18"/>
      <c r="S45" s="18"/>
    </row>
    <row r="46" spans="8:27" ht="15">
      <c r="H46" s="1"/>
      <c r="I46" s="2"/>
      <c r="J46" s="2"/>
      <c r="K46" s="16"/>
      <c r="L46" s="17"/>
      <c r="M46" s="17"/>
      <c r="N46" s="17"/>
      <c r="O46" s="17"/>
      <c r="P46" s="15"/>
      <c r="Q46" s="15"/>
      <c r="R46" s="15"/>
      <c r="S46" s="15"/>
    </row>
    <row r="47" spans="8:27" ht="15">
      <c r="H47" s="1"/>
      <c r="I47" s="2"/>
      <c r="J47" s="2"/>
      <c r="K47" s="20"/>
      <c r="L47" s="21"/>
      <c r="M47" s="21"/>
      <c r="N47" s="21"/>
      <c r="O47" s="21"/>
      <c r="P47" s="18"/>
      <c r="Q47" s="18"/>
      <c r="R47" s="18"/>
      <c r="S47" s="18"/>
    </row>
    <row r="48" spans="8:27" ht="15">
      <c r="H48" s="1"/>
      <c r="I48" s="2"/>
      <c r="J48" s="2"/>
      <c r="K48" s="16"/>
      <c r="L48" s="17"/>
      <c r="M48" s="17"/>
      <c r="N48" s="17"/>
      <c r="O48" s="17"/>
      <c r="P48" s="15"/>
      <c r="Q48" s="15"/>
      <c r="R48" s="15"/>
      <c r="S48" s="15"/>
    </row>
    <row r="49" spans="8:19" ht="15">
      <c r="H49" s="1"/>
      <c r="I49" s="2"/>
      <c r="J49" s="2"/>
      <c r="K49" s="16"/>
      <c r="L49" s="17"/>
      <c r="M49" s="17"/>
      <c r="N49" s="17"/>
      <c r="O49" s="17"/>
      <c r="P49" s="15"/>
      <c r="Q49" s="15"/>
      <c r="R49" s="15"/>
      <c r="S49" s="15"/>
    </row>
    <row r="53" spans="8:19" ht="15">
      <c r="K53" s="16"/>
      <c r="L53" s="17"/>
      <c r="M53" s="17"/>
      <c r="N53" s="17"/>
      <c r="O53" s="17"/>
      <c r="P53" s="15"/>
      <c r="Q53" s="15"/>
      <c r="R53" s="15"/>
      <c r="S53" s="15"/>
    </row>
    <row r="54" spans="8:19" ht="15">
      <c r="K54" s="20"/>
      <c r="L54" s="21"/>
      <c r="M54" s="21"/>
      <c r="N54" s="21"/>
      <c r="O54" s="21"/>
      <c r="P54" s="18"/>
      <c r="Q54" s="18"/>
      <c r="R54" s="18"/>
      <c r="S54" s="18"/>
    </row>
    <row r="55" spans="8:19" ht="15">
      <c r="K55" s="16"/>
      <c r="L55" s="17"/>
      <c r="M55" s="17"/>
      <c r="N55" s="17"/>
      <c r="O55" s="17"/>
      <c r="P55" s="15"/>
      <c r="Q55" s="15"/>
      <c r="R55" s="15"/>
      <c r="S55" s="15"/>
    </row>
    <row r="56" spans="8:19" ht="15">
      <c r="K56" s="20"/>
      <c r="L56" s="21"/>
      <c r="M56" s="21"/>
      <c r="N56" s="21"/>
      <c r="O56" s="21"/>
      <c r="P56" s="18"/>
      <c r="Q56" s="18"/>
      <c r="R56" s="18"/>
      <c r="S56" s="18"/>
    </row>
    <row r="57" spans="8:19" ht="15">
      <c r="K57" s="16"/>
      <c r="L57" s="17"/>
      <c r="M57" s="17"/>
      <c r="N57" s="17"/>
      <c r="O57" s="17"/>
      <c r="P57" s="15"/>
      <c r="Q57" s="15"/>
      <c r="R57" s="15"/>
      <c r="S57" s="15"/>
    </row>
    <row r="58" spans="8:19" ht="15">
      <c r="K58" s="20"/>
      <c r="L58" s="21"/>
      <c r="M58" s="21"/>
      <c r="N58" s="21"/>
      <c r="O58" s="21"/>
      <c r="P58" s="18"/>
      <c r="Q58" s="18"/>
      <c r="R58" s="18"/>
      <c r="S58" s="18"/>
    </row>
    <row r="59" spans="8:19" ht="15">
      <c r="K59" s="16"/>
      <c r="L59" s="17"/>
      <c r="M59" s="17"/>
      <c r="N59" s="17"/>
      <c r="O59" s="17"/>
      <c r="P59" s="15"/>
      <c r="Q59" s="15"/>
      <c r="R59" s="15"/>
      <c r="S59" s="15"/>
    </row>
    <row r="60" spans="8:19" ht="15">
      <c r="K60" s="20"/>
      <c r="L60" s="21"/>
      <c r="M60" s="21"/>
      <c r="N60" s="21"/>
      <c r="O60" s="21"/>
      <c r="P60" s="18"/>
      <c r="Q60" s="18"/>
      <c r="R60" s="18"/>
      <c r="S60" s="18"/>
    </row>
    <row r="61" spans="8:19" ht="15">
      <c r="K61" s="16"/>
      <c r="L61" s="17"/>
      <c r="M61" s="17"/>
      <c r="N61" s="17"/>
      <c r="O61" s="17"/>
      <c r="P61" s="15"/>
      <c r="Q61" s="15"/>
      <c r="R61" s="15"/>
      <c r="S61" s="15"/>
    </row>
    <row r="62" spans="8:19" ht="15">
      <c r="K62" s="20"/>
      <c r="L62" s="21"/>
      <c r="M62" s="21"/>
      <c r="N62" s="21"/>
      <c r="O62" s="21"/>
      <c r="P62" s="18"/>
      <c r="Q62" s="18"/>
      <c r="R62" s="18"/>
      <c r="S62" s="18"/>
    </row>
    <row r="63" spans="8:19" ht="15">
      <c r="K63" s="16"/>
      <c r="L63" s="17"/>
      <c r="M63" s="17"/>
      <c r="N63" s="17"/>
      <c r="O63" s="17"/>
      <c r="P63" s="15"/>
      <c r="Q63" s="15"/>
      <c r="R63" s="15"/>
      <c r="S63" s="15"/>
    </row>
    <row r="64" spans="8:19" ht="15">
      <c r="K64" s="20"/>
      <c r="L64" s="21"/>
      <c r="M64" s="21"/>
      <c r="N64" s="21"/>
      <c r="O64" s="21"/>
      <c r="P64" s="18"/>
      <c r="Q64" s="18"/>
      <c r="R64" s="18"/>
      <c r="S64" s="18"/>
    </row>
    <row r="65" spans="11:19" ht="15">
      <c r="K65" s="16"/>
      <c r="L65" s="17"/>
      <c r="M65" s="17"/>
      <c r="N65" s="17"/>
      <c r="O65" s="17"/>
      <c r="P65" s="15"/>
      <c r="Q65" s="15"/>
      <c r="R65" s="15"/>
      <c r="S65" s="15"/>
    </row>
    <row r="66" spans="11:19" ht="15">
      <c r="K66" s="20"/>
      <c r="L66" s="21"/>
      <c r="M66" s="21"/>
      <c r="N66" s="21"/>
      <c r="O66" s="21"/>
      <c r="P66" s="18"/>
      <c r="Q66" s="18"/>
      <c r="R66" s="18"/>
      <c r="S66" s="18"/>
    </row>
    <row r="67" spans="11:19" ht="15">
      <c r="K67" s="16"/>
      <c r="L67" s="17"/>
      <c r="M67" s="17"/>
      <c r="N67" s="17"/>
      <c r="O67" s="17"/>
      <c r="P67" s="15"/>
      <c r="Q67" s="15"/>
      <c r="R67" s="15"/>
      <c r="S67" s="15"/>
    </row>
    <row r="68" spans="11:19" ht="15">
      <c r="K68" s="20"/>
      <c r="L68" s="21"/>
      <c r="M68" s="21"/>
      <c r="N68" s="21"/>
      <c r="O68" s="21"/>
      <c r="P68" s="18"/>
      <c r="Q68" s="18"/>
      <c r="R68" s="18"/>
      <c r="S68" s="18"/>
    </row>
    <row r="69" spans="11:19" ht="15">
      <c r="K69" s="16"/>
      <c r="L69" s="17"/>
      <c r="M69" s="17"/>
      <c r="N69" s="17"/>
      <c r="O69" s="17"/>
      <c r="P69" s="15"/>
      <c r="Q69" s="15"/>
      <c r="R69" s="15"/>
      <c r="S69" s="15"/>
    </row>
    <row r="70" spans="11:19" ht="15">
      <c r="K70" s="20"/>
      <c r="L70" s="21"/>
      <c r="M70" s="21"/>
      <c r="N70" s="21"/>
      <c r="O70" s="21"/>
      <c r="P70" s="18"/>
      <c r="Q70" s="18"/>
      <c r="R70" s="18"/>
      <c r="S70" s="18"/>
    </row>
    <row r="71" spans="11:19" ht="15">
      <c r="K71" s="16"/>
      <c r="L71" s="17"/>
      <c r="M71" s="17"/>
      <c r="N71" s="17"/>
      <c r="O71" s="17"/>
      <c r="P71" s="15"/>
      <c r="Q71" s="15"/>
      <c r="R71" s="15"/>
      <c r="S71" s="15"/>
    </row>
    <row r="72" spans="11:19" ht="15">
      <c r="K72" s="20"/>
      <c r="L72" s="21"/>
      <c r="M72" s="21"/>
      <c r="N72" s="21"/>
      <c r="O72" s="21"/>
      <c r="P72" s="18"/>
      <c r="Q72" s="18"/>
      <c r="R72" s="18"/>
      <c r="S72" s="18"/>
    </row>
    <row r="73" spans="11:19" ht="15">
      <c r="K73" s="16"/>
      <c r="L73" s="17"/>
      <c r="M73" s="17"/>
      <c r="N73" s="17"/>
      <c r="O73" s="17"/>
      <c r="P73" s="15"/>
      <c r="Q73" s="15"/>
      <c r="R73" s="15"/>
      <c r="S73" s="15"/>
    </row>
  </sheetData>
  <mergeCells count="50">
    <mergeCell ref="I2:J2"/>
    <mergeCell ref="N2:O2"/>
    <mergeCell ref="S2:T2"/>
    <mergeCell ref="C2:F2"/>
    <mergeCell ref="B4:C4"/>
    <mergeCell ref="H4:I4"/>
    <mergeCell ref="B5:C5"/>
    <mergeCell ref="B6:C6"/>
    <mergeCell ref="B7:C7"/>
    <mergeCell ref="B8:C8"/>
    <mergeCell ref="B23:C23"/>
    <mergeCell ref="B13:C13"/>
    <mergeCell ref="B18:C18"/>
    <mergeCell ref="B19:C19"/>
    <mergeCell ref="B20:C20"/>
    <mergeCell ref="B17:C17"/>
    <mergeCell ref="B15:C15"/>
    <mergeCell ref="B16:C16"/>
    <mergeCell ref="B14:C14"/>
    <mergeCell ref="B9:C9"/>
    <mergeCell ref="B10:C10"/>
    <mergeCell ref="B11:C11"/>
    <mergeCell ref="B24:C24"/>
    <mergeCell ref="B25:C25"/>
    <mergeCell ref="B26:C26"/>
    <mergeCell ref="B21:C21"/>
    <mergeCell ref="B22:C22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B12:C12"/>
    <mergeCell ref="H15:I15"/>
    <mergeCell ref="H16:I16"/>
    <mergeCell ref="H17:I17"/>
    <mergeCell ref="H18:I18"/>
    <mergeCell ref="H19:I19"/>
    <mergeCell ref="H25:I25"/>
    <mergeCell ref="H26:I26"/>
    <mergeCell ref="H20:I20"/>
    <mergeCell ref="H21:I21"/>
    <mergeCell ref="H22:I22"/>
    <mergeCell ref="H23:I23"/>
    <mergeCell ref="H24:I2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Chatterjee, Anikait</cp:lastModifiedBy>
  <dcterms:modified xsi:type="dcterms:W3CDTF">2026-10-13T15:07:16Z</dcterms:modified>
</cp:coreProperties>
</file>